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barques" sheetId="1" state="visible" r:id="rId1"/>
    <sheet name="RESCOM" sheetId="2" state="visible" r:id="rId2"/>
    <sheet name="PORTADORES" sheetId="3" state="visible" r:id="rId3"/>
    <sheet name="Custo Insumos" sheetId="4" state="visible" r:id="rId4"/>
    <sheet name="Consolida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7F9FC"/>
        <bgColor rgb="00F7F9FC"/>
      </patternFill>
    </fill>
    <fill>
      <patternFill patternType="solid">
        <fgColor rgb="00EEF2FA"/>
        <bgColor rgb="00EEF2FA"/>
      </patternFill>
    </fill>
    <fill>
      <patternFill patternType="solid">
        <fgColor rgb="00375623"/>
        <bgColor rgb="00375623"/>
      </patternFill>
    </fill>
    <fill>
      <patternFill patternType="solid">
        <fgColor rgb="007F3F00"/>
        <bgColor rgb="007F3F00"/>
      </patternFill>
    </fill>
    <fill>
      <patternFill patternType="solid">
        <fgColor rgb="004B0082"/>
        <bgColor rgb="004B0082"/>
      </patternFill>
    </fill>
    <fill>
      <patternFill patternType="solid">
        <fgColor rgb="000D3B6E"/>
        <bgColor rgb="000D3B6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164" fontId="4" fillId="2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5" customWidth="1" min="3" max="3"/>
    <col width="26" customWidth="1" min="4" max="4"/>
    <col width="15" customWidth="1" min="5" max="5"/>
    <col width="15" customWidth="1" min="6" max="6"/>
  </cols>
  <sheetData>
    <row r="1" ht="26" customHeight="1">
      <c r="A1" s="2" t="inlineStr">
        <is>
          <t>Remetente</t>
        </is>
      </c>
      <c r="B1" s="2" t="inlineStr">
        <is>
          <t>Valor Frete Total</t>
        </is>
      </c>
      <c r="C1" s="2" t="inlineStr">
        <is>
          <t>frete peso</t>
        </is>
      </c>
      <c r="D1" s="2" t="inlineStr">
        <is>
          <t>Custo Insumos (Caixas)</t>
        </is>
      </c>
      <c r="E1" s="2" t="inlineStr">
        <is>
          <t>itr</t>
        </is>
      </c>
      <c r="F1" s="2" t="inlineStr">
        <is>
          <t>outros</t>
        </is>
      </c>
    </row>
    <row r="2" ht="18" customHeight="1">
      <c r="A2" s="3" t="inlineStr">
        <is>
          <t>ADITUS COMERCIAL LTDA</t>
        </is>
      </c>
      <c r="B2" s="4" t="n">
        <v>1500</v>
      </c>
      <c r="C2" s="4" t="n">
        <v>3</v>
      </c>
      <c r="D2" s="4" t="n">
        <v>32.9</v>
      </c>
      <c r="E2" s="4" t="n">
        <v>20</v>
      </c>
      <c r="F2" s="4" t="n">
        <v>10</v>
      </c>
    </row>
    <row r="3" ht="18" customHeight="1">
      <c r="A3" s="5" t="inlineStr">
        <is>
          <t>BIOGEN LTDA</t>
        </is>
      </c>
      <c r="B3" s="6" t="n">
        <v>2100</v>
      </c>
      <c r="C3" s="6" t="n">
        <v>3.6</v>
      </c>
      <c r="D3" s="6" t="n">
        <v>57.575</v>
      </c>
      <c r="E3" s="6" t="n">
        <v>35</v>
      </c>
      <c r="F3" s="6" t="n">
        <v>13</v>
      </c>
    </row>
    <row r="4" ht="18" customHeight="1">
      <c r="A4" s="3" t="inlineStr">
        <is>
          <t>GSK BRASIL LTDA</t>
        </is>
      </c>
      <c r="B4" s="4" t="n">
        <v>1700</v>
      </c>
      <c r="C4" s="4" t="n">
        <v>3.2</v>
      </c>
      <c r="D4" s="4" t="n">
        <v>41.125</v>
      </c>
      <c r="E4" s="4" t="n">
        <v>25</v>
      </c>
      <c r="F4" s="4" t="n">
        <v>11</v>
      </c>
    </row>
    <row r="5" ht="18" customHeight="1">
      <c r="A5" s="5" t="inlineStr">
        <is>
          <t>IPSEN BIOFARMACEUTICA</t>
        </is>
      </c>
      <c r="B5" s="6" t="n">
        <v>1900</v>
      </c>
      <c r="C5" s="6" t="n">
        <v>3.4</v>
      </c>
      <c r="D5" s="6" t="n">
        <v>49.34999999999999</v>
      </c>
      <c r="E5" s="6" t="n">
        <v>30</v>
      </c>
      <c r="F5" s="6" t="n">
        <v>12</v>
      </c>
    </row>
    <row r="6" ht="18" customHeight="1">
      <c r="A6" s="3" t="inlineStr">
        <is>
          <t>YELUM SEGURADORA</t>
        </is>
      </c>
      <c r="B6" s="4" t="n">
        <v>2300</v>
      </c>
      <c r="C6" s="4" t="n">
        <v>3.8</v>
      </c>
      <c r="D6" s="4" t="n">
        <v>65.8</v>
      </c>
      <c r="E6" s="4" t="n">
        <v>40</v>
      </c>
      <c r="F6" s="4" t="n">
        <v>14</v>
      </c>
    </row>
    <row r="7" ht="18" customHeight="1">
      <c r="A7" s="7" t="inlineStr">
        <is>
          <t>TOTAL GERAL</t>
        </is>
      </c>
      <c r="B7" s="8">
        <f>SUM(B2:B6)</f>
        <v/>
      </c>
      <c r="C7" s="8">
        <f>SUM(C2:C6)</f>
        <v/>
      </c>
      <c r="D7" s="8">
        <f>SUM(D2:D6)</f>
        <v/>
      </c>
      <c r="E7" s="8">
        <f>SUM(E2:E6)</f>
        <v/>
      </c>
      <c r="F7" s="8">
        <f>SUM(F2:F6)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</cols>
  <sheetData>
    <row r="1" ht="26" customHeight="1">
      <c r="A1" s="9" t="inlineStr">
        <is>
          <t>Remetente</t>
        </is>
      </c>
      <c r="B1" s="9" t="inlineStr">
        <is>
          <t>Valor RESCOM</t>
        </is>
      </c>
    </row>
    <row r="2" ht="18" customHeight="1">
      <c r="A2" s="3" t="inlineStr">
        <is>
          <t>ADITUS COMERCIAL LTDA</t>
        </is>
      </c>
      <c r="B2" s="4" t="n">
        <v>300</v>
      </c>
    </row>
    <row r="3" ht="18" customHeight="1">
      <c r="A3" s="5" t="inlineStr">
        <is>
          <t>BIOGEN LTDA</t>
        </is>
      </c>
      <c r="B3" s="6" t="n">
        <v>450</v>
      </c>
    </row>
    <row r="4" ht="18" customHeight="1">
      <c r="A4" s="3" t="inlineStr">
        <is>
          <t>GSK BRASIL LTDA</t>
        </is>
      </c>
      <c r="B4" s="4" t="n">
        <v>350</v>
      </c>
    </row>
    <row r="5" ht="18" customHeight="1">
      <c r="A5" s="5" t="inlineStr">
        <is>
          <t>IPSEN BIOFARMACEUTICA</t>
        </is>
      </c>
      <c r="B5" s="6" t="n">
        <v>400</v>
      </c>
    </row>
    <row r="6" ht="18" customHeight="1">
      <c r="A6" s="3" t="inlineStr">
        <is>
          <t>YELUM SEGURADORA</t>
        </is>
      </c>
      <c r="B6" s="4" t="n">
        <v>500</v>
      </c>
    </row>
    <row r="7" ht="18" customHeight="1">
      <c r="A7" s="7" t="inlineStr">
        <is>
          <t>TOTAL GERAL</t>
        </is>
      </c>
      <c r="B7" s="8">
        <f>SUM(B2:B6)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 ht="26" customHeight="1">
      <c r="A1" s="10" t="inlineStr">
        <is>
          <t>Remetente</t>
        </is>
      </c>
      <c r="B1" s="10" t="inlineStr">
        <is>
          <t>Valor PORTADORES</t>
        </is>
      </c>
    </row>
    <row r="2" ht="18" customHeight="1">
      <c r="A2" s="3" t="inlineStr">
        <is>
          <t>ADITUS COMERCIAL LTDA</t>
        </is>
      </c>
      <c r="B2" s="4" t="n">
        <v>150</v>
      </c>
    </row>
    <row r="3" ht="18" customHeight="1">
      <c r="A3" s="5" t="inlineStr">
        <is>
          <t>BIOGEN LTDA</t>
        </is>
      </c>
      <c r="B3" s="6" t="n">
        <v>225</v>
      </c>
    </row>
    <row r="4" ht="18" customHeight="1">
      <c r="A4" s="3" t="inlineStr">
        <is>
          <t>GSK BRASIL LTDA</t>
        </is>
      </c>
      <c r="B4" s="4" t="n">
        <v>175</v>
      </c>
    </row>
    <row r="5" ht="18" customHeight="1">
      <c r="A5" s="5" t="inlineStr">
        <is>
          <t>IPSEN BIOFARMACEUTICA</t>
        </is>
      </c>
      <c r="B5" s="6" t="n">
        <v>200</v>
      </c>
    </row>
    <row r="6" ht="18" customHeight="1">
      <c r="A6" s="3" t="inlineStr">
        <is>
          <t>YELUM SEGURADORA</t>
        </is>
      </c>
      <c r="B6" s="4" t="n">
        <v>250</v>
      </c>
    </row>
    <row r="7" ht="18" customHeight="1">
      <c r="A7" s="7" t="inlineStr">
        <is>
          <t>TOTAL GERAL</t>
        </is>
      </c>
      <c r="B7" s="8">
        <f>SUM(B2:B6)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</cols>
  <sheetData>
    <row r="1" ht="26" customHeight="1">
      <c r="A1" s="11" t="inlineStr">
        <is>
          <t>Remetente</t>
        </is>
      </c>
      <c r="B1" s="11" t="inlineStr">
        <is>
          <t>Custo Insumos (Caixas)</t>
        </is>
      </c>
    </row>
    <row r="2" ht="18" customHeight="1">
      <c r="A2" s="3" t="inlineStr">
        <is>
          <t>ADITUS COMERCIAL LTDA</t>
        </is>
      </c>
      <c r="B2" s="4" t="n">
        <v>32.9</v>
      </c>
    </row>
    <row r="3" ht="18" customHeight="1">
      <c r="A3" s="5" t="inlineStr">
        <is>
          <t>BIOGEN LTDA</t>
        </is>
      </c>
      <c r="B3" s="6" t="n">
        <v>57.575</v>
      </c>
    </row>
    <row r="4" ht="18" customHeight="1">
      <c r="A4" s="3" t="inlineStr">
        <is>
          <t>GSK BRASIL LTDA</t>
        </is>
      </c>
      <c r="B4" s="4" t="n">
        <v>41.125</v>
      </c>
    </row>
    <row r="5" ht="18" customHeight="1">
      <c r="A5" s="5" t="inlineStr">
        <is>
          <t>IPSEN BIOFARMACEUTICA</t>
        </is>
      </c>
      <c r="B5" s="6" t="n">
        <v>49.34999999999999</v>
      </c>
    </row>
    <row r="6" ht="18" customHeight="1">
      <c r="A6" s="3" t="inlineStr">
        <is>
          <t>YELUM SEGURADORA</t>
        </is>
      </c>
      <c r="B6" s="4" t="n">
        <v>65.8</v>
      </c>
    </row>
    <row r="7" ht="18" customHeight="1">
      <c r="A7" s="7" t="inlineStr">
        <is>
          <t>TOTAL GERAL</t>
        </is>
      </c>
      <c r="B7" s="8">
        <f>SUM(B2:B6)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5" customWidth="1" min="3" max="3"/>
    <col width="26" customWidth="1" min="4" max="4"/>
    <col width="15" customWidth="1" min="5" max="5"/>
    <col width="15" customWidth="1" min="6" max="6"/>
    <col width="16" customWidth="1" min="7" max="7"/>
    <col width="20" customWidth="1" min="8" max="8"/>
  </cols>
  <sheetData>
    <row r="1" ht="26" customHeight="1">
      <c r="A1" s="12" t="inlineStr">
        <is>
          <t>Remetente</t>
        </is>
      </c>
      <c r="B1" s="12" t="inlineStr">
        <is>
          <t>Valor Frete Total</t>
        </is>
      </c>
      <c r="C1" s="12" t="inlineStr">
        <is>
          <t>frete peso</t>
        </is>
      </c>
      <c r="D1" s="12" t="inlineStr">
        <is>
          <t>Custo Insumos (Caixas)</t>
        </is>
      </c>
      <c r="E1" s="12" t="inlineStr">
        <is>
          <t>itr</t>
        </is>
      </c>
      <c r="F1" s="12" t="inlineStr">
        <is>
          <t>outros</t>
        </is>
      </c>
      <c r="G1" s="12" t="inlineStr">
        <is>
          <t>Valor RESCOM</t>
        </is>
      </c>
      <c r="H1" s="12" t="inlineStr">
        <is>
          <t>Valor PORTADORES</t>
        </is>
      </c>
    </row>
    <row r="2" ht="18" customHeight="1">
      <c r="A2" s="3" t="inlineStr">
        <is>
          <t>ADITUS COMERCIAL LTDA</t>
        </is>
      </c>
      <c r="B2" s="4" t="n">
        <v>1500</v>
      </c>
      <c r="C2" s="4" t="n">
        <v>3</v>
      </c>
      <c r="D2" s="4" t="n">
        <v>32.9</v>
      </c>
      <c r="E2" s="4" t="n">
        <v>20</v>
      </c>
      <c r="F2" s="4" t="n">
        <v>10</v>
      </c>
      <c r="G2" s="4" t="n">
        <v>300</v>
      </c>
      <c r="H2" s="4" t="n">
        <v>150</v>
      </c>
    </row>
    <row r="3" ht="18" customHeight="1">
      <c r="A3" s="5" t="inlineStr">
        <is>
          <t>BIOGEN LTDA</t>
        </is>
      </c>
      <c r="B3" s="6" t="n">
        <v>2100</v>
      </c>
      <c r="C3" s="6" t="n">
        <v>3.6</v>
      </c>
      <c r="D3" s="6" t="n">
        <v>57.575</v>
      </c>
      <c r="E3" s="6" t="n">
        <v>35</v>
      </c>
      <c r="F3" s="6" t="n">
        <v>13</v>
      </c>
      <c r="G3" s="6" t="n">
        <v>450</v>
      </c>
      <c r="H3" s="6" t="n">
        <v>225</v>
      </c>
    </row>
    <row r="4" ht="18" customHeight="1">
      <c r="A4" s="3" t="inlineStr">
        <is>
          <t>GSK BRASIL LTDA</t>
        </is>
      </c>
      <c r="B4" s="4" t="n">
        <v>1700</v>
      </c>
      <c r="C4" s="4" t="n">
        <v>3.2</v>
      </c>
      <c r="D4" s="4" t="n">
        <v>41.125</v>
      </c>
      <c r="E4" s="4" t="n">
        <v>25</v>
      </c>
      <c r="F4" s="4" t="n">
        <v>11</v>
      </c>
      <c r="G4" s="4" t="n">
        <v>350</v>
      </c>
      <c r="H4" s="4" t="n">
        <v>175</v>
      </c>
    </row>
    <row r="5" ht="18" customHeight="1">
      <c r="A5" s="5" t="inlineStr">
        <is>
          <t>IPSEN BIOFARMACEUTICA</t>
        </is>
      </c>
      <c r="B5" s="6" t="n">
        <v>1900</v>
      </c>
      <c r="C5" s="6" t="n">
        <v>3.4</v>
      </c>
      <c r="D5" s="6" t="n">
        <v>49.34999999999999</v>
      </c>
      <c r="E5" s="6" t="n">
        <v>30</v>
      </c>
      <c r="F5" s="6" t="n">
        <v>12</v>
      </c>
      <c r="G5" s="6" t="n">
        <v>400</v>
      </c>
      <c r="H5" s="6" t="n">
        <v>200</v>
      </c>
    </row>
    <row r="6" ht="18" customHeight="1">
      <c r="A6" s="3" t="inlineStr">
        <is>
          <t>YELUM SEGURADORA</t>
        </is>
      </c>
      <c r="B6" s="4" t="n">
        <v>2300</v>
      </c>
      <c r="C6" s="4" t="n">
        <v>3.8</v>
      </c>
      <c r="D6" s="4" t="n">
        <v>65.8</v>
      </c>
      <c r="E6" s="4" t="n">
        <v>40</v>
      </c>
      <c r="F6" s="4" t="n">
        <v>14</v>
      </c>
      <c r="G6" s="4" t="n">
        <v>500</v>
      </c>
      <c r="H6" s="4" t="n">
        <v>250</v>
      </c>
    </row>
    <row r="7" ht="18" customHeight="1">
      <c r="A7" s="7" t="inlineStr">
        <is>
          <t>TOTAL GERAL</t>
        </is>
      </c>
      <c r="B7" s="8">
        <f>SUM(B2:B6)</f>
        <v/>
      </c>
      <c r="C7" s="8">
        <f>SUM(C2:C6)</f>
        <v/>
      </c>
      <c r="D7" s="8">
        <f>SUM(D2:D6)</f>
        <v/>
      </c>
      <c r="E7" s="8">
        <f>SUM(E2:E6)</f>
        <v/>
      </c>
      <c r="F7" s="8">
        <f>SUM(F2:F6)</f>
        <v/>
      </c>
      <c r="G7" s="8">
        <f>SUM(G2:G6)</f>
        <v/>
      </c>
      <c r="H7" s="8">
        <f>SUM(H2:H6)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2026-04-30T15:38:57Z</dcterms:created>
  <dcterms:modified xsi:type="dcterms:W3CDTF">2026-04-30T15:38:57Z</dcterms:modified>
</cp:coreProperties>
</file>